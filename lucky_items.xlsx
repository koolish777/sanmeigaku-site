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ラッキーアイテム" sheetId="1" state="visible" r:id="rId3"/>
    <sheet name="集計" sheetId="2" state="visible" r:id="rId4"/>
    <sheet name="使い方" sheetId="3" state="visible" r:id="rId5"/>
  </sheets>
  <definedNames>
    <definedName function="false" hidden="true" localSheetId="0" name="_xlnm._FilterDatabase" vbProcedure="false">ラッキーアイテム!$A$1:$E$101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<sst xmlns="http://schemas.openxmlformats.org/spreadsheetml/2006/main" count="353" uniqueCount="209">
  <si>
    <t xml:space="preserve">五行</t>
  </si>
  <si>
    <r>
      <rPr>
        <b val="true"/>
        <sz val="11"/>
        <color rgb="FFFFFFFF"/>
        <rFont val="DejaVu Sans"/>
        <family val="2"/>
      </rPr>
      <t xml:space="preserve">無料</t>
    </r>
    <r>
      <rPr>
        <b val="true"/>
        <sz val="11"/>
        <color rgb="FFFFFFFF"/>
        <rFont val="Meiryo"/>
        <family val="0"/>
        <charset val="1"/>
      </rPr>
      <t xml:space="preserve">(○)</t>
    </r>
  </si>
  <si>
    <t xml:space="preserve">アイテム</t>
  </si>
  <si>
    <t xml:space="preserve">似合う色</t>
  </si>
  <si>
    <t xml:space="preserve">メモ</t>
  </si>
  <si>
    <t xml:space="preserve">木</t>
  </si>
  <si>
    <t xml:space="preserve">○</t>
  </si>
  <si>
    <t xml:space="preserve">観葉植物の小鉢</t>
  </si>
  <si>
    <t xml:space="preserve">深緑</t>
  </si>
  <si>
    <t xml:space="preserve">木のお箸</t>
  </si>
  <si>
    <t xml:space="preserve">生成り</t>
  </si>
  <si>
    <t xml:space="preserve">文庫本を一冊</t>
  </si>
  <si>
    <t xml:space="preserve">若草色</t>
  </si>
  <si>
    <t xml:space="preserve">リネンのハンカチ</t>
  </si>
  <si>
    <t xml:space="preserve">アイボリー</t>
  </si>
  <si>
    <t xml:space="preserve">ミントのハーブティー</t>
  </si>
  <si>
    <t xml:space="preserve">ミントグリーン</t>
  </si>
  <si>
    <t xml:space="preserve">ユーカリのスワッグ</t>
  </si>
  <si>
    <t xml:space="preserve">グレイッシュグリーン</t>
  </si>
  <si>
    <t xml:space="preserve">ヒノキのアロマオイル</t>
  </si>
  <si>
    <t xml:space="preserve">ベージュ</t>
  </si>
  <si>
    <t xml:space="preserve">籐のかごバッグ</t>
  </si>
  <si>
    <t xml:space="preserve">ナチュラルブラウン</t>
  </si>
  <si>
    <t xml:space="preserve">ビカクシダ（観葉植物）</t>
  </si>
  <si>
    <t xml:space="preserve">フォレストグリーン</t>
  </si>
  <si>
    <t xml:space="preserve">木製のフォトフレーム</t>
  </si>
  <si>
    <t xml:space="preserve">ライトウッド</t>
  </si>
  <si>
    <t xml:space="preserve">多肉植物の寄せ植え</t>
  </si>
  <si>
    <t xml:space="preserve">セージグリーン</t>
  </si>
  <si>
    <t xml:space="preserve">グリーンのニットベスト</t>
  </si>
  <si>
    <t xml:space="preserve">カーキ</t>
  </si>
  <si>
    <t xml:space="preserve">竹の歯ブラシ</t>
  </si>
  <si>
    <t xml:space="preserve">抹茶ラテ</t>
  </si>
  <si>
    <t xml:space="preserve">抹茶色</t>
  </si>
  <si>
    <t xml:space="preserve">アロマディフューザー</t>
  </si>
  <si>
    <t xml:space="preserve">オフホワイト</t>
  </si>
  <si>
    <t xml:space="preserve">モンステラ（観葉植物）</t>
  </si>
  <si>
    <t xml:space="preserve">ディープグリーン</t>
  </si>
  <si>
    <t xml:space="preserve">麻のエプロン</t>
  </si>
  <si>
    <t xml:space="preserve">リネンベージュ</t>
  </si>
  <si>
    <t xml:space="preserve">木製のキーホルダー</t>
  </si>
  <si>
    <t xml:space="preserve">チーク</t>
  </si>
  <si>
    <t xml:space="preserve">ボタニカル柄のスカーフ</t>
  </si>
  <si>
    <t xml:space="preserve">オリーブ</t>
  </si>
  <si>
    <t xml:space="preserve">新しい手帳</t>
  </si>
  <si>
    <t xml:space="preserve">モスグリーン</t>
  </si>
  <si>
    <t xml:space="preserve">火</t>
  </si>
  <si>
    <t xml:space="preserve">小さな間接照明</t>
  </si>
  <si>
    <t xml:space="preserve">アンバー</t>
  </si>
  <si>
    <t xml:space="preserve">アロマキャンドル</t>
  </si>
  <si>
    <t xml:space="preserve">テラコッタ</t>
  </si>
  <si>
    <t xml:space="preserve">あたたかい紅茶</t>
  </si>
  <si>
    <t xml:space="preserve">ルビーレッド</t>
  </si>
  <si>
    <t xml:space="preserve">赤いヘアゴム</t>
  </si>
  <si>
    <t xml:space="preserve">朱色</t>
  </si>
  <si>
    <t xml:space="preserve">ドライフラワー（赤系）</t>
  </si>
  <si>
    <t xml:space="preserve">ボルドー</t>
  </si>
  <si>
    <t xml:space="preserve">テラコッタのキャンドルホルダー</t>
  </si>
  <si>
    <t xml:space="preserve">シナモンのチャイ</t>
  </si>
  <si>
    <t xml:space="preserve">シナモンブラウン</t>
  </si>
  <si>
    <t xml:space="preserve">朱色のリップ</t>
  </si>
  <si>
    <t xml:space="preserve">朱赤</t>
  </si>
  <si>
    <t xml:space="preserve">ガラスのランタン</t>
  </si>
  <si>
    <t xml:space="preserve">琥珀色</t>
  </si>
  <si>
    <t xml:space="preserve">赤いソックス</t>
  </si>
  <si>
    <t xml:space="preserve">レッド</t>
  </si>
  <si>
    <t xml:space="preserve">スパイスカレー</t>
  </si>
  <si>
    <t xml:space="preserve">ターメリック</t>
  </si>
  <si>
    <t xml:space="preserve">コーラルのネイル</t>
  </si>
  <si>
    <t xml:space="preserve">コーラルピンク</t>
  </si>
  <si>
    <t xml:space="preserve">真鍮のキャンドルスタンド</t>
  </si>
  <si>
    <t xml:space="preserve">ブラス</t>
  </si>
  <si>
    <t xml:space="preserve">焚き火の動画を観る時間</t>
  </si>
  <si>
    <t xml:space="preserve">オレンジ</t>
  </si>
  <si>
    <t xml:space="preserve">赤縁のメガネ</t>
  </si>
  <si>
    <t xml:space="preserve">バーガンディ</t>
  </si>
  <si>
    <t xml:space="preserve">ホットワイン</t>
  </si>
  <si>
    <t xml:space="preserve">ワインレッド</t>
  </si>
  <si>
    <t xml:space="preserve">サンセットカラーのスマホケース</t>
  </si>
  <si>
    <t xml:space="preserve">サンセットオレンジ</t>
  </si>
  <si>
    <t xml:space="preserve">柑橘のアロマミスト</t>
  </si>
  <si>
    <t xml:space="preserve">マンダリン</t>
  </si>
  <si>
    <t xml:space="preserve">赤いブックカバー</t>
  </si>
  <si>
    <t xml:space="preserve">カーマイン</t>
  </si>
  <si>
    <t xml:space="preserve">チェリー柄の小物</t>
  </si>
  <si>
    <t xml:space="preserve">チェリーレッド</t>
  </si>
  <si>
    <t xml:space="preserve">土</t>
  </si>
  <si>
    <t xml:space="preserve">陶器のマグ</t>
  </si>
  <si>
    <t xml:space="preserve">キャメル</t>
  </si>
  <si>
    <t xml:space="preserve">おにぎり</t>
  </si>
  <si>
    <t xml:space="preserve">ライスベージュ</t>
  </si>
  <si>
    <t xml:space="preserve">黄色い小物</t>
  </si>
  <si>
    <t xml:space="preserve">マスタード</t>
  </si>
  <si>
    <t xml:space="preserve">焼き菓子</t>
  </si>
  <si>
    <t xml:space="preserve">きつね色</t>
  </si>
  <si>
    <t xml:space="preserve">素焼きの鉢</t>
  </si>
  <si>
    <t xml:space="preserve">テラコッタの植木鉢</t>
  </si>
  <si>
    <t xml:space="preserve">はちみつ</t>
  </si>
  <si>
    <t xml:space="preserve">ハニーイエロー</t>
  </si>
  <si>
    <t xml:space="preserve">ベージュのトートバッグ</t>
  </si>
  <si>
    <t xml:space="preserve">土鍋で炊いたごはん</t>
  </si>
  <si>
    <t xml:space="preserve">木綿の靴下</t>
  </si>
  <si>
    <t xml:space="preserve">オートミール</t>
  </si>
  <si>
    <t xml:space="preserve">黄色いマグカップ</t>
  </si>
  <si>
    <t xml:space="preserve">マスタードイエロー</t>
  </si>
  <si>
    <t xml:space="preserve">焼きたてのパン</t>
  </si>
  <si>
    <t xml:space="preserve">ウィート</t>
  </si>
  <si>
    <t xml:space="preserve">革のキーケース</t>
  </si>
  <si>
    <t xml:space="preserve">キャメルブラウン</t>
  </si>
  <si>
    <t xml:space="preserve">陶器のアクセサリートレイ</t>
  </si>
  <si>
    <t xml:space="preserve">サンドベージュ</t>
  </si>
  <si>
    <t xml:space="preserve">さつまいものお菓子</t>
  </si>
  <si>
    <t xml:space="preserve">イエローオークル</t>
  </si>
  <si>
    <t xml:space="preserve">ベージュのストール</t>
  </si>
  <si>
    <t xml:space="preserve">グレージュ</t>
  </si>
  <si>
    <t xml:space="preserve">信楽焼の箸置き</t>
  </si>
  <si>
    <t xml:space="preserve">土色</t>
  </si>
  <si>
    <t xml:space="preserve">キャラメルラテ</t>
  </si>
  <si>
    <t xml:space="preserve">キャラメル</t>
  </si>
  <si>
    <t xml:space="preserve">黄土色のニット</t>
  </si>
  <si>
    <t xml:space="preserve">ぬか漬け</t>
  </si>
  <si>
    <t xml:space="preserve">ぬか色</t>
  </si>
  <si>
    <t xml:space="preserve">金</t>
  </si>
  <si>
    <t xml:space="preserve">シルバーのアクセサリー</t>
  </si>
  <si>
    <t xml:space="preserve">シルバー</t>
  </si>
  <si>
    <t xml:space="preserve">白いシャツ</t>
  </si>
  <si>
    <t xml:space="preserve">ホワイト</t>
  </si>
  <si>
    <t xml:space="preserve">みがいた鏡</t>
  </si>
  <si>
    <t xml:space="preserve">シルバーグレー</t>
  </si>
  <si>
    <t xml:space="preserve">金属のペン</t>
  </si>
  <si>
    <t xml:space="preserve">ガンメタル</t>
  </si>
  <si>
    <t xml:space="preserve">白いハンカチ</t>
  </si>
  <si>
    <t xml:space="preserve">真鍮のしおり</t>
  </si>
  <si>
    <t xml:space="preserve">ブラスゴールド</t>
  </si>
  <si>
    <t xml:space="preserve">白い陶器のプレート</t>
  </si>
  <si>
    <t xml:space="preserve">シルバーのリング</t>
  </si>
  <si>
    <t xml:space="preserve">ホワイトフローラルの香水</t>
  </si>
  <si>
    <t xml:space="preserve">パールホワイト</t>
  </si>
  <si>
    <t xml:space="preserve">ステンレスのボトル</t>
  </si>
  <si>
    <t xml:space="preserve">ステンレスシルバー</t>
  </si>
  <si>
    <t xml:space="preserve">パールのピアス</t>
  </si>
  <si>
    <t xml:space="preserve">パール</t>
  </si>
  <si>
    <t xml:space="preserve">白いスニーカー</t>
  </si>
  <si>
    <t xml:space="preserve">金縁のアクセサリートレイ</t>
  </si>
  <si>
    <t xml:space="preserve">ゴールド</t>
  </si>
  <si>
    <t xml:space="preserve">クロームのキーリング</t>
  </si>
  <si>
    <t xml:space="preserve">クローム</t>
  </si>
  <si>
    <t xml:space="preserve">白磁のカップ</t>
  </si>
  <si>
    <t xml:space="preserve">白磁</t>
  </si>
  <si>
    <t xml:space="preserve">シルバーの腕時計</t>
  </si>
  <si>
    <t xml:space="preserve">アイボリーのニット</t>
  </si>
  <si>
    <t xml:space="preserve">ミニ鏡</t>
  </si>
  <si>
    <t xml:space="preserve">銀のブックマーカー</t>
  </si>
  <si>
    <t xml:space="preserve">白い花を一輪</t>
  </si>
  <si>
    <t xml:space="preserve">ピュアホワイト</t>
  </si>
  <si>
    <t xml:space="preserve">水</t>
  </si>
  <si>
    <t xml:space="preserve">ガラスのコップ</t>
  </si>
  <si>
    <t xml:space="preserve">クリア</t>
  </si>
  <si>
    <t xml:space="preserve">青い小物</t>
  </si>
  <si>
    <t xml:space="preserve">ブルー</t>
  </si>
  <si>
    <t xml:space="preserve">ゆっくりのお風呂</t>
  </si>
  <si>
    <t xml:space="preserve">水色</t>
  </si>
  <si>
    <t xml:space="preserve">こまめな水分</t>
  </si>
  <si>
    <t xml:space="preserve">アクアブルー</t>
  </si>
  <si>
    <t xml:space="preserve">紺のハンカチ</t>
  </si>
  <si>
    <t xml:space="preserve">ネイビー</t>
  </si>
  <si>
    <t xml:space="preserve">ガラスのフラワーベース</t>
  </si>
  <si>
    <t xml:space="preserve">クリアブルー</t>
  </si>
  <si>
    <t xml:space="preserve">ラベンダーの入浴剤</t>
  </si>
  <si>
    <t xml:space="preserve">ラベンダー</t>
  </si>
  <si>
    <t xml:space="preserve">ネイビーのソックス</t>
  </si>
  <si>
    <t xml:space="preserve">化粧水</t>
  </si>
  <si>
    <t xml:space="preserve">ペールブルー</t>
  </si>
  <si>
    <t xml:space="preserve">青いボールペン</t>
  </si>
  <si>
    <t xml:space="preserve">ロイヤルブルー</t>
  </si>
  <si>
    <t xml:space="preserve">ガラスのピアス</t>
  </si>
  <si>
    <t xml:space="preserve">黒い手帳</t>
  </si>
  <si>
    <t xml:space="preserve">ブラック</t>
  </si>
  <si>
    <t xml:space="preserve">ミネラルウォーター</t>
  </si>
  <si>
    <t xml:space="preserve">アクア</t>
  </si>
  <si>
    <t xml:space="preserve">水色のマグ</t>
  </si>
  <si>
    <t xml:space="preserve">スカイブルー</t>
  </si>
  <si>
    <t xml:space="preserve">シルクの枕カバー</t>
  </si>
  <si>
    <t xml:space="preserve">ミッドナイトブルー</t>
  </si>
  <si>
    <t xml:space="preserve">アロマバスソルト</t>
  </si>
  <si>
    <t xml:space="preserve">ラベンダーブルー</t>
  </si>
  <si>
    <t xml:space="preserve">紺のキャップ</t>
  </si>
  <si>
    <t xml:space="preserve">ガラスの一輪挿し</t>
  </si>
  <si>
    <t xml:space="preserve">海の写真集</t>
  </si>
  <si>
    <t xml:space="preserve">マリンブルー</t>
  </si>
  <si>
    <t xml:space="preserve">青いブックカバー</t>
  </si>
  <si>
    <t xml:space="preserve">インディゴ</t>
  </si>
  <si>
    <r>
      <rPr>
        <b val="true"/>
        <sz val="11"/>
        <color rgb="FFFFFFFF"/>
        <rFont val="DejaVu Sans"/>
        <family val="2"/>
      </rPr>
      <t xml:space="preserve">アイテム総数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目標</t>
    </r>
    <r>
      <rPr>
        <b val="true"/>
        <sz val="11"/>
        <color rgb="FFFFFFFF"/>
        <rFont val="Meiryo"/>
        <family val="0"/>
        <charset val="1"/>
      </rPr>
      <t xml:space="preserve">20)</t>
    </r>
  </si>
  <si>
    <r>
      <rPr>
        <b val="true"/>
        <sz val="11"/>
        <color rgb="FFFFFFFF"/>
        <rFont val="DejaVu Sans"/>
        <family val="2"/>
      </rPr>
      <t xml:space="preserve">無料数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目標</t>
    </r>
    <r>
      <rPr>
        <b val="true"/>
        <sz val="11"/>
        <color rgb="FFFFFFFF"/>
        <rFont val="Meiryo"/>
        <family val="0"/>
        <charset val="1"/>
      </rPr>
      <t xml:space="preserve">5)</t>
    </r>
  </si>
  <si>
    <t xml:space="preserve">判定</t>
  </si>
  <si>
    <t xml:space="preserve">合計</t>
  </si>
  <si>
    <t xml:space="preserve">■ ラッキーアイテム編集マニュアル（叩き台＝最終はリーダー判断）</t>
  </si>
  <si>
    <t xml:space="preserve">・このブックがアイテムの“正本（マスター）”です。ここを編集→クラウディに渡すとサイトに反映します。</t>
  </si>
  <si>
    <t xml:space="preserve">・「ラッキーアイテム」シートで、五行ごとにアイテムと似合う色を入れます。</t>
  </si>
  <si>
    <r>
      <rPr>
        <sz val="11"/>
        <rFont val="DejaVu Sans"/>
        <family val="2"/>
      </rPr>
      <t xml:space="preserve">・五行＝木</t>
    </r>
    <r>
      <rPr>
        <sz val="11"/>
        <rFont val="Meiryo"/>
        <family val="0"/>
        <charset val="1"/>
      </rPr>
      <t xml:space="preserve">/</t>
    </r>
    <r>
      <rPr>
        <sz val="11"/>
        <rFont val="DejaVu Sans"/>
        <family val="2"/>
      </rPr>
      <t xml:space="preserve">火</t>
    </r>
    <r>
      <rPr>
        <sz val="11"/>
        <rFont val="Meiryo"/>
        <family val="0"/>
        <charset val="1"/>
      </rPr>
      <t xml:space="preserve">/</t>
    </r>
    <r>
      <rPr>
        <sz val="11"/>
        <rFont val="DejaVu Sans"/>
        <family val="2"/>
      </rPr>
      <t xml:space="preserve">土</t>
    </r>
    <r>
      <rPr>
        <sz val="11"/>
        <rFont val="Meiryo"/>
        <family val="0"/>
        <charset val="1"/>
      </rPr>
      <t xml:space="preserve">/</t>
    </r>
    <r>
      <rPr>
        <sz val="11"/>
        <rFont val="DejaVu Sans"/>
        <family val="2"/>
      </rPr>
      <t xml:space="preserve">金</t>
    </r>
    <r>
      <rPr>
        <sz val="11"/>
        <rFont val="Meiryo"/>
        <family val="0"/>
        <charset val="1"/>
      </rPr>
      <t xml:space="preserve">/</t>
    </r>
    <r>
      <rPr>
        <sz val="11"/>
        <rFont val="DejaVu Sans"/>
        <family val="2"/>
      </rPr>
      <t xml:space="preserve">水（中心星の五行）。各五行は</t>
    </r>
    <r>
      <rPr>
        <sz val="11"/>
        <rFont val="Meiryo"/>
        <family val="0"/>
        <charset val="1"/>
      </rPr>
      <t xml:space="preserve">20</t>
    </r>
    <r>
      <rPr>
        <sz val="11"/>
        <rFont val="DejaVu Sans"/>
        <family val="2"/>
      </rPr>
      <t xml:space="preserve">行が目安です。</t>
    </r>
  </si>
  <si>
    <r>
      <rPr>
        <sz val="11"/>
        <rFont val="DejaVu Sans"/>
        <family val="2"/>
      </rPr>
      <t xml:space="preserve">・「無料</t>
    </r>
    <r>
      <rPr>
        <sz val="11"/>
        <rFont val="Meiryo"/>
        <family val="0"/>
        <charset val="1"/>
      </rPr>
      <t xml:space="preserve">(○)</t>
    </r>
    <r>
      <rPr>
        <sz val="11"/>
        <rFont val="DejaVu Sans"/>
        <family val="2"/>
      </rPr>
      <t xml:space="preserve">」列に ○ を入れた行＝無料プール（各五行</t>
    </r>
    <r>
      <rPr>
        <sz val="11"/>
        <rFont val="Meiryo"/>
        <family val="0"/>
        <charset val="1"/>
      </rPr>
      <t xml:space="preserve">5</t>
    </r>
    <r>
      <rPr>
        <sz val="11"/>
        <rFont val="DejaVu Sans"/>
        <family val="2"/>
      </rPr>
      <t xml:space="preserve">個が目安）。空欄＝有料のみ。</t>
    </r>
  </si>
  <si>
    <r>
      <rPr>
        <sz val="11"/>
        <rFont val="DejaVu Sans"/>
        <family val="2"/>
      </rPr>
      <t xml:space="preserve">・全行（○含む</t>
    </r>
    <r>
      <rPr>
        <sz val="11"/>
        <rFont val="Meiryo"/>
        <family val="0"/>
        <charset val="1"/>
      </rPr>
      <t xml:space="preserve">20</t>
    </r>
    <r>
      <rPr>
        <sz val="11"/>
        <rFont val="DejaVu Sans"/>
        <family val="2"/>
      </rPr>
      <t xml:space="preserve">個）＝有料プール。○の</t>
    </r>
    <r>
      <rPr>
        <sz val="11"/>
        <rFont val="Meiryo"/>
        <family val="0"/>
        <charset val="1"/>
      </rPr>
      <t xml:space="preserve">5</t>
    </r>
    <r>
      <rPr>
        <sz val="11"/>
        <rFont val="DejaVu Sans"/>
        <family val="2"/>
      </rPr>
      <t xml:space="preserve">個＝無料プール。</t>
    </r>
  </si>
  <si>
    <t xml:space="preserve">・「似合う色」はアイテムと一緒に表示されます（無料＝『合わせたい色』、有料＝小字）。</t>
  </si>
  <si>
    <r>
      <rPr>
        <sz val="11"/>
        <rFont val="DejaVu Sans"/>
        <family val="2"/>
      </rPr>
      <t xml:space="preserve">・「集計」シートで各五行が</t>
    </r>
    <r>
      <rPr>
        <sz val="11"/>
        <rFont val="Meiryo"/>
        <family val="0"/>
        <charset val="1"/>
      </rPr>
      <t xml:space="preserve">20</t>
    </r>
    <r>
      <rPr>
        <sz val="11"/>
        <rFont val="DejaVu Sans"/>
        <family val="2"/>
      </rPr>
      <t xml:space="preserve">個</t>
    </r>
    <r>
      <rPr>
        <sz val="11"/>
        <rFont val="Meiryo"/>
        <family val="0"/>
        <charset val="1"/>
      </rPr>
      <t xml:space="preserve">/</t>
    </r>
    <r>
      <rPr>
        <sz val="11"/>
        <rFont val="DejaVu Sans"/>
        <family val="2"/>
      </rPr>
      <t xml:space="preserve">無料</t>
    </r>
    <r>
      <rPr>
        <sz val="11"/>
        <rFont val="Meiryo"/>
        <family val="0"/>
        <charset val="1"/>
      </rPr>
      <t xml:space="preserve">5</t>
    </r>
    <r>
      <rPr>
        <sz val="11"/>
        <rFont val="DejaVu Sans"/>
        <family val="2"/>
      </rPr>
      <t xml:space="preserve">個になっているか自動チェックできます（</t>
    </r>
    <r>
      <rPr>
        <sz val="11"/>
        <rFont val="Meiryo"/>
        <family val="0"/>
        <charset val="1"/>
      </rPr>
      <t xml:space="preserve">OK/</t>
    </r>
    <r>
      <rPr>
        <sz val="11"/>
        <rFont val="DejaVu Sans"/>
        <family val="2"/>
      </rPr>
      <t xml:space="preserve">要調整）。</t>
    </r>
  </si>
  <si>
    <r>
      <rPr>
        <sz val="11"/>
        <rFont val="DejaVu Sans"/>
        <family val="2"/>
      </rPr>
      <t xml:space="preserve">・トレンドや言い回しは自由に差し替え</t>
    </r>
    <r>
      <rPr>
        <sz val="11"/>
        <rFont val="Meiryo"/>
        <family val="0"/>
        <charset val="1"/>
      </rPr>
      <t xml:space="preserve">OK</t>
    </r>
    <r>
      <rPr>
        <sz val="11"/>
        <rFont val="DejaVu Sans"/>
        <family val="2"/>
      </rPr>
      <t xml:space="preserve">。色名は短めが綺麗に出ます。</t>
    </r>
  </si>
  <si>
    <t xml:space="preserve">■ 反映の流れ</t>
  </si>
  <si>
    <r>
      <rPr>
        <sz val="11"/>
        <rFont val="Meiryo"/>
        <family val="0"/>
        <charset val="1"/>
      </rPr>
      <t xml:space="preserve">1) </t>
    </r>
    <r>
      <rPr>
        <sz val="11"/>
        <rFont val="DejaVu Sans"/>
        <family val="2"/>
      </rPr>
      <t xml:space="preserve">この</t>
    </r>
    <r>
      <rPr>
        <sz val="11"/>
        <rFont val="Meiryo"/>
        <family val="0"/>
        <charset val="1"/>
      </rPr>
      <t xml:space="preserve">xlsx</t>
    </r>
    <r>
      <rPr>
        <sz val="11"/>
        <rFont val="DejaVu Sans"/>
        <family val="2"/>
      </rPr>
      <t xml:space="preserve">を編集して保存</t>
    </r>
  </si>
  <si>
    <r>
      <rPr>
        <sz val="11"/>
        <rFont val="Meiryo"/>
        <family val="0"/>
        <charset val="1"/>
      </rPr>
      <t xml:space="preserve">2) </t>
    </r>
    <r>
      <rPr>
        <sz val="11"/>
        <rFont val="DejaVu Sans"/>
        <family val="2"/>
      </rPr>
      <t xml:space="preserve">クラウディに「ラッキーアイテム更新して」と渡す</t>
    </r>
  </si>
  <si>
    <r>
      <rPr>
        <sz val="11"/>
        <rFont val="Meiryo"/>
        <family val="0"/>
        <charset val="1"/>
      </rPr>
      <t xml:space="preserve">3) </t>
    </r>
    <r>
      <rPr>
        <sz val="11"/>
        <rFont val="DejaVu Sans"/>
        <family val="2"/>
      </rPr>
      <t xml:space="preserve">こちらで</t>
    </r>
    <r>
      <rPr>
        <sz val="11"/>
        <rFont val="Meiryo"/>
        <family val="0"/>
        <charset val="1"/>
      </rPr>
      <t xml:space="preserve">HTML</t>
    </r>
    <r>
      <rPr>
        <sz val="11"/>
        <rFont val="DejaVu Sans"/>
        <family val="2"/>
      </rPr>
      <t xml:space="preserve">内の</t>
    </r>
    <r>
      <rPr>
        <sz val="11"/>
        <rFont val="Meiryo"/>
        <family val="0"/>
        <charset val="1"/>
      </rPr>
      <t xml:space="preserve">JS</t>
    </r>
    <r>
      <rPr>
        <sz val="11"/>
        <rFont val="DejaVu Sans"/>
        <family val="2"/>
      </rPr>
      <t xml:space="preserve">テーブルを再生成して反映（公開は</t>
    </r>
    <r>
      <rPr>
        <sz val="11"/>
        <rFont val="Meiryo"/>
        <family val="0"/>
        <charset val="1"/>
      </rPr>
      <t xml:space="preserve">push</t>
    </r>
    <r>
      <rPr>
        <sz val="11"/>
        <rFont val="DejaVu Sans"/>
        <family val="2"/>
      </rPr>
      <t xml:space="preserve">後）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</si>
</sst>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Meiryo"/>
      <family val="0"/>
      <charset val="1"/>
    </font>
    <font>
      <sz val="11"/>
      <name val="DejaVu Sans"/>
      <family val="2"/>
    </font>
    <font>
      <b val="true"/>
      <sz val="11"/>
      <color rgb="FF8B1E2D"/>
      <name val="Meiryo"/>
      <family val="0"/>
      <charset val="1"/>
    </font>
    <font>
      <sz val="11"/>
      <name val="Meiryo"/>
      <family val="0"/>
      <charset val="1"/>
    </font>
    <font>
      <b val="true"/>
      <sz val="11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8B1E2D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BE"/>
      </left>
      <right style="thin">
        <color rgb="FFD9CFBE"/>
      </right>
      <top style="thin">
        <color rgb="FFD9CFBE"/>
      </top>
      <bottom style="thin">
        <color rgb="FFD9CF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8B1E2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B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E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4" t="s">
        <v>7</v>
      </c>
      <c r="D2" s="4" t="s">
        <v>8</v>
      </c>
      <c r="E2" s="4"/>
    </row>
    <row r="3" customFormat="false" ht="15" hidden="false" customHeight="false" outlineLevel="0" collapsed="false">
      <c r="A3" s="2" t="s">
        <v>5</v>
      </c>
      <c r="B3" s="3" t="s">
        <v>6</v>
      </c>
      <c r="C3" s="4" t="s">
        <v>9</v>
      </c>
      <c r="D3" s="4" t="s">
        <v>10</v>
      </c>
      <c r="E3" s="4"/>
    </row>
    <row r="4" customFormat="false" ht="15" hidden="false" customHeight="false" outlineLevel="0" collapsed="false">
      <c r="A4" s="2" t="s">
        <v>5</v>
      </c>
      <c r="B4" s="3" t="s">
        <v>6</v>
      </c>
      <c r="C4" s="4" t="s">
        <v>11</v>
      </c>
      <c r="D4" s="4" t="s">
        <v>12</v>
      </c>
      <c r="E4" s="4"/>
    </row>
    <row r="5" customFormat="false" ht="15" hidden="false" customHeight="false" outlineLevel="0" collapsed="false">
      <c r="A5" s="2" t="s">
        <v>5</v>
      </c>
      <c r="B5" s="3" t="s">
        <v>6</v>
      </c>
      <c r="C5" s="4" t="s">
        <v>13</v>
      </c>
      <c r="D5" s="4" t="s">
        <v>14</v>
      </c>
      <c r="E5" s="4"/>
    </row>
    <row r="6" customFormat="false" ht="15" hidden="false" customHeight="false" outlineLevel="0" collapsed="false">
      <c r="A6" s="2" t="s">
        <v>5</v>
      </c>
      <c r="B6" s="3" t="s">
        <v>6</v>
      </c>
      <c r="C6" s="4" t="s">
        <v>15</v>
      </c>
      <c r="D6" s="4" t="s">
        <v>16</v>
      </c>
      <c r="E6" s="4"/>
    </row>
    <row r="7" customFormat="false" ht="15" hidden="false" customHeight="false" outlineLevel="0" collapsed="false">
      <c r="A7" s="2" t="s">
        <v>5</v>
      </c>
      <c r="B7" s="5"/>
      <c r="C7" s="4" t="s">
        <v>17</v>
      </c>
      <c r="D7" s="4" t="s">
        <v>18</v>
      </c>
      <c r="E7" s="4"/>
    </row>
    <row r="8" customFormat="false" ht="15" hidden="false" customHeight="false" outlineLevel="0" collapsed="false">
      <c r="A8" s="2" t="s">
        <v>5</v>
      </c>
      <c r="B8" s="5"/>
      <c r="C8" s="4" t="s">
        <v>19</v>
      </c>
      <c r="D8" s="4" t="s">
        <v>20</v>
      </c>
      <c r="E8" s="4"/>
    </row>
    <row r="9" customFormat="false" ht="15" hidden="false" customHeight="false" outlineLevel="0" collapsed="false">
      <c r="A9" s="2" t="s">
        <v>5</v>
      </c>
      <c r="B9" s="5"/>
      <c r="C9" s="4" t="s">
        <v>21</v>
      </c>
      <c r="D9" s="4" t="s">
        <v>22</v>
      </c>
      <c r="E9" s="4"/>
    </row>
    <row r="10" customFormat="false" ht="15" hidden="false" customHeight="false" outlineLevel="0" collapsed="false">
      <c r="A10" s="2" t="s">
        <v>5</v>
      </c>
      <c r="B10" s="5"/>
      <c r="C10" s="4" t="s">
        <v>23</v>
      </c>
      <c r="D10" s="4" t="s">
        <v>24</v>
      </c>
      <c r="E10" s="4"/>
    </row>
    <row r="11" customFormat="false" ht="15" hidden="false" customHeight="false" outlineLevel="0" collapsed="false">
      <c r="A11" s="2" t="s">
        <v>5</v>
      </c>
      <c r="B11" s="5"/>
      <c r="C11" s="4" t="s">
        <v>25</v>
      </c>
      <c r="D11" s="4" t="s">
        <v>26</v>
      </c>
      <c r="E11" s="4"/>
    </row>
    <row r="12" customFormat="false" ht="15" hidden="false" customHeight="false" outlineLevel="0" collapsed="false">
      <c r="A12" s="2" t="s">
        <v>5</v>
      </c>
      <c r="B12" s="5"/>
      <c r="C12" s="4" t="s">
        <v>27</v>
      </c>
      <c r="D12" s="4" t="s">
        <v>28</v>
      </c>
      <c r="E12" s="4"/>
    </row>
    <row r="13" customFormat="false" ht="15" hidden="false" customHeight="false" outlineLevel="0" collapsed="false">
      <c r="A13" s="2" t="s">
        <v>5</v>
      </c>
      <c r="B13" s="5"/>
      <c r="C13" s="4" t="s">
        <v>29</v>
      </c>
      <c r="D13" s="4" t="s">
        <v>30</v>
      </c>
      <c r="E13" s="4"/>
    </row>
    <row r="14" customFormat="false" ht="15" hidden="false" customHeight="false" outlineLevel="0" collapsed="false">
      <c r="A14" s="2" t="s">
        <v>5</v>
      </c>
      <c r="B14" s="5"/>
      <c r="C14" s="4" t="s">
        <v>31</v>
      </c>
      <c r="D14" s="4" t="s">
        <v>10</v>
      </c>
      <c r="E14" s="4"/>
    </row>
    <row r="15" customFormat="false" ht="15" hidden="false" customHeight="false" outlineLevel="0" collapsed="false">
      <c r="A15" s="2" t="s">
        <v>5</v>
      </c>
      <c r="B15" s="5"/>
      <c r="C15" s="4" t="s">
        <v>32</v>
      </c>
      <c r="D15" s="4" t="s">
        <v>33</v>
      </c>
      <c r="E15" s="4"/>
    </row>
    <row r="16" customFormat="false" ht="15" hidden="false" customHeight="false" outlineLevel="0" collapsed="false">
      <c r="A16" s="2" t="s">
        <v>5</v>
      </c>
      <c r="B16" s="5"/>
      <c r="C16" s="4" t="s">
        <v>34</v>
      </c>
      <c r="D16" s="4" t="s">
        <v>35</v>
      </c>
      <c r="E16" s="4"/>
    </row>
    <row r="17" customFormat="false" ht="15" hidden="false" customHeight="false" outlineLevel="0" collapsed="false">
      <c r="A17" s="2" t="s">
        <v>5</v>
      </c>
      <c r="B17" s="5"/>
      <c r="C17" s="4" t="s">
        <v>36</v>
      </c>
      <c r="D17" s="4" t="s">
        <v>37</v>
      </c>
      <c r="E17" s="4"/>
    </row>
    <row r="18" customFormat="false" ht="15" hidden="false" customHeight="false" outlineLevel="0" collapsed="false">
      <c r="A18" s="2" t="s">
        <v>5</v>
      </c>
      <c r="B18" s="5"/>
      <c r="C18" s="4" t="s">
        <v>38</v>
      </c>
      <c r="D18" s="4" t="s">
        <v>39</v>
      </c>
      <c r="E18" s="4"/>
    </row>
    <row r="19" customFormat="false" ht="15" hidden="false" customHeight="false" outlineLevel="0" collapsed="false">
      <c r="A19" s="2" t="s">
        <v>5</v>
      </c>
      <c r="B19" s="5"/>
      <c r="C19" s="4" t="s">
        <v>40</v>
      </c>
      <c r="D19" s="4" t="s">
        <v>41</v>
      </c>
      <c r="E19" s="4"/>
    </row>
    <row r="20" customFormat="false" ht="15" hidden="false" customHeight="false" outlineLevel="0" collapsed="false">
      <c r="A20" s="2" t="s">
        <v>5</v>
      </c>
      <c r="B20" s="5"/>
      <c r="C20" s="4" t="s">
        <v>42</v>
      </c>
      <c r="D20" s="4" t="s">
        <v>43</v>
      </c>
      <c r="E20" s="4"/>
    </row>
    <row r="21" customFormat="false" ht="15" hidden="false" customHeight="false" outlineLevel="0" collapsed="false">
      <c r="A21" s="2" t="s">
        <v>5</v>
      </c>
      <c r="B21" s="5"/>
      <c r="C21" s="4" t="s">
        <v>44</v>
      </c>
      <c r="D21" s="4" t="s">
        <v>45</v>
      </c>
      <c r="E21" s="4"/>
    </row>
    <row r="22" customFormat="false" ht="15" hidden="false" customHeight="false" outlineLevel="0" collapsed="false">
      <c r="A22" s="6" t="s">
        <v>46</v>
      </c>
      <c r="B22" s="7" t="s">
        <v>6</v>
      </c>
      <c r="C22" s="8" t="s">
        <v>47</v>
      </c>
      <c r="D22" s="8" t="s">
        <v>48</v>
      </c>
      <c r="E22" s="8"/>
    </row>
    <row r="23" customFormat="false" ht="15" hidden="false" customHeight="false" outlineLevel="0" collapsed="false">
      <c r="A23" s="6" t="s">
        <v>46</v>
      </c>
      <c r="B23" s="7" t="s">
        <v>6</v>
      </c>
      <c r="C23" s="8" t="s">
        <v>49</v>
      </c>
      <c r="D23" s="8" t="s">
        <v>50</v>
      </c>
      <c r="E23" s="8"/>
    </row>
    <row r="24" customFormat="false" ht="15" hidden="false" customHeight="false" outlineLevel="0" collapsed="false">
      <c r="A24" s="6" t="s">
        <v>46</v>
      </c>
      <c r="B24" s="7" t="s">
        <v>6</v>
      </c>
      <c r="C24" s="8" t="s">
        <v>51</v>
      </c>
      <c r="D24" s="8" t="s">
        <v>52</v>
      </c>
      <c r="E24" s="8"/>
    </row>
    <row r="25" customFormat="false" ht="15" hidden="false" customHeight="false" outlineLevel="0" collapsed="false">
      <c r="A25" s="6" t="s">
        <v>46</v>
      </c>
      <c r="B25" s="7" t="s">
        <v>6</v>
      </c>
      <c r="C25" s="8" t="s">
        <v>53</v>
      </c>
      <c r="D25" s="8" t="s">
        <v>54</v>
      </c>
      <c r="E25" s="8"/>
    </row>
    <row r="26" customFormat="false" ht="15" hidden="false" customHeight="false" outlineLevel="0" collapsed="false">
      <c r="A26" s="6" t="s">
        <v>46</v>
      </c>
      <c r="B26" s="7" t="s">
        <v>6</v>
      </c>
      <c r="C26" s="8" t="s">
        <v>55</v>
      </c>
      <c r="D26" s="8" t="s">
        <v>56</v>
      </c>
      <c r="E26" s="8"/>
    </row>
    <row r="27" customFormat="false" ht="15" hidden="false" customHeight="false" outlineLevel="0" collapsed="false">
      <c r="A27" s="6" t="s">
        <v>46</v>
      </c>
      <c r="B27" s="9"/>
      <c r="C27" s="8" t="s">
        <v>57</v>
      </c>
      <c r="D27" s="8" t="s">
        <v>50</v>
      </c>
      <c r="E27" s="8"/>
    </row>
    <row r="28" customFormat="false" ht="15" hidden="false" customHeight="false" outlineLevel="0" collapsed="false">
      <c r="A28" s="6" t="s">
        <v>46</v>
      </c>
      <c r="B28" s="9"/>
      <c r="C28" s="8" t="s">
        <v>58</v>
      </c>
      <c r="D28" s="8" t="s">
        <v>59</v>
      </c>
      <c r="E28" s="8"/>
    </row>
    <row r="29" customFormat="false" ht="15" hidden="false" customHeight="false" outlineLevel="0" collapsed="false">
      <c r="A29" s="6" t="s">
        <v>46</v>
      </c>
      <c r="B29" s="9"/>
      <c r="C29" s="8" t="s">
        <v>60</v>
      </c>
      <c r="D29" s="8" t="s">
        <v>61</v>
      </c>
      <c r="E29" s="8"/>
    </row>
    <row r="30" customFormat="false" ht="15" hidden="false" customHeight="false" outlineLevel="0" collapsed="false">
      <c r="A30" s="6" t="s">
        <v>46</v>
      </c>
      <c r="B30" s="9"/>
      <c r="C30" s="8" t="s">
        <v>62</v>
      </c>
      <c r="D30" s="8" t="s">
        <v>63</v>
      </c>
      <c r="E30" s="8"/>
    </row>
    <row r="31" customFormat="false" ht="15" hidden="false" customHeight="false" outlineLevel="0" collapsed="false">
      <c r="A31" s="6" t="s">
        <v>46</v>
      </c>
      <c r="B31" s="9"/>
      <c r="C31" s="8" t="s">
        <v>64</v>
      </c>
      <c r="D31" s="8" t="s">
        <v>65</v>
      </c>
      <c r="E31" s="8"/>
    </row>
    <row r="32" customFormat="false" ht="15" hidden="false" customHeight="false" outlineLevel="0" collapsed="false">
      <c r="A32" s="6" t="s">
        <v>46</v>
      </c>
      <c r="B32" s="9"/>
      <c r="C32" s="8" t="s">
        <v>66</v>
      </c>
      <c r="D32" s="8" t="s">
        <v>67</v>
      </c>
      <c r="E32" s="8"/>
    </row>
    <row r="33" customFormat="false" ht="15" hidden="false" customHeight="false" outlineLevel="0" collapsed="false">
      <c r="A33" s="6" t="s">
        <v>46</v>
      </c>
      <c r="B33" s="9"/>
      <c r="C33" s="8" t="s">
        <v>68</v>
      </c>
      <c r="D33" s="8" t="s">
        <v>69</v>
      </c>
      <c r="E33" s="8"/>
    </row>
    <row r="34" customFormat="false" ht="15" hidden="false" customHeight="false" outlineLevel="0" collapsed="false">
      <c r="A34" s="6" t="s">
        <v>46</v>
      </c>
      <c r="B34" s="9"/>
      <c r="C34" s="8" t="s">
        <v>70</v>
      </c>
      <c r="D34" s="8" t="s">
        <v>71</v>
      </c>
      <c r="E34" s="8"/>
    </row>
    <row r="35" customFormat="false" ht="15" hidden="false" customHeight="false" outlineLevel="0" collapsed="false">
      <c r="A35" s="6" t="s">
        <v>46</v>
      </c>
      <c r="B35" s="9"/>
      <c r="C35" s="8" t="s">
        <v>72</v>
      </c>
      <c r="D35" s="8" t="s">
        <v>73</v>
      </c>
      <c r="E35" s="8"/>
    </row>
    <row r="36" customFormat="false" ht="15" hidden="false" customHeight="false" outlineLevel="0" collapsed="false">
      <c r="A36" s="6" t="s">
        <v>46</v>
      </c>
      <c r="B36" s="9"/>
      <c r="C36" s="8" t="s">
        <v>74</v>
      </c>
      <c r="D36" s="8" t="s">
        <v>75</v>
      </c>
      <c r="E36" s="8"/>
    </row>
    <row r="37" customFormat="false" ht="15" hidden="false" customHeight="false" outlineLevel="0" collapsed="false">
      <c r="A37" s="6" t="s">
        <v>46</v>
      </c>
      <c r="B37" s="9"/>
      <c r="C37" s="8" t="s">
        <v>76</v>
      </c>
      <c r="D37" s="8" t="s">
        <v>77</v>
      </c>
      <c r="E37" s="8"/>
    </row>
    <row r="38" customFormat="false" ht="15" hidden="false" customHeight="false" outlineLevel="0" collapsed="false">
      <c r="A38" s="6" t="s">
        <v>46</v>
      </c>
      <c r="B38" s="9"/>
      <c r="C38" s="8" t="s">
        <v>78</v>
      </c>
      <c r="D38" s="8" t="s">
        <v>79</v>
      </c>
      <c r="E38" s="8"/>
    </row>
    <row r="39" customFormat="false" ht="15" hidden="false" customHeight="false" outlineLevel="0" collapsed="false">
      <c r="A39" s="6" t="s">
        <v>46</v>
      </c>
      <c r="B39" s="9"/>
      <c r="C39" s="8" t="s">
        <v>80</v>
      </c>
      <c r="D39" s="8" t="s">
        <v>81</v>
      </c>
      <c r="E39" s="8"/>
    </row>
    <row r="40" customFormat="false" ht="15" hidden="false" customHeight="false" outlineLevel="0" collapsed="false">
      <c r="A40" s="6" t="s">
        <v>46</v>
      </c>
      <c r="B40" s="9"/>
      <c r="C40" s="8" t="s">
        <v>82</v>
      </c>
      <c r="D40" s="8" t="s">
        <v>83</v>
      </c>
      <c r="E40" s="8"/>
    </row>
    <row r="41" customFormat="false" ht="15" hidden="false" customHeight="false" outlineLevel="0" collapsed="false">
      <c r="A41" s="6" t="s">
        <v>46</v>
      </c>
      <c r="B41" s="9"/>
      <c r="C41" s="8" t="s">
        <v>84</v>
      </c>
      <c r="D41" s="8" t="s">
        <v>85</v>
      </c>
      <c r="E41" s="8"/>
    </row>
    <row r="42" customFormat="false" ht="15" hidden="false" customHeight="false" outlineLevel="0" collapsed="false">
      <c r="A42" s="10" t="s">
        <v>86</v>
      </c>
      <c r="B42" s="11" t="s">
        <v>6</v>
      </c>
      <c r="C42" s="12" t="s">
        <v>87</v>
      </c>
      <c r="D42" s="12" t="s">
        <v>88</v>
      </c>
      <c r="E42" s="12"/>
    </row>
    <row r="43" customFormat="false" ht="15" hidden="false" customHeight="false" outlineLevel="0" collapsed="false">
      <c r="A43" s="10" t="s">
        <v>86</v>
      </c>
      <c r="B43" s="11" t="s">
        <v>6</v>
      </c>
      <c r="C43" s="12" t="s">
        <v>89</v>
      </c>
      <c r="D43" s="12" t="s">
        <v>90</v>
      </c>
      <c r="E43" s="12"/>
    </row>
    <row r="44" customFormat="false" ht="15" hidden="false" customHeight="false" outlineLevel="0" collapsed="false">
      <c r="A44" s="10" t="s">
        <v>86</v>
      </c>
      <c r="B44" s="11" t="s">
        <v>6</v>
      </c>
      <c r="C44" s="12" t="s">
        <v>91</v>
      </c>
      <c r="D44" s="12" t="s">
        <v>92</v>
      </c>
      <c r="E44" s="12"/>
    </row>
    <row r="45" customFormat="false" ht="15" hidden="false" customHeight="false" outlineLevel="0" collapsed="false">
      <c r="A45" s="10" t="s">
        <v>86</v>
      </c>
      <c r="B45" s="11" t="s">
        <v>6</v>
      </c>
      <c r="C45" s="12" t="s">
        <v>93</v>
      </c>
      <c r="D45" s="12" t="s">
        <v>94</v>
      </c>
      <c r="E45" s="12"/>
    </row>
    <row r="46" customFormat="false" ht="15" hidden="false" customHeight="false" outlineLevel="0" collapsed="false">
      <c r="A46" s="10" t="s">
        <v>86</v>
      </c>
      <c r="B46" s="11" t="s">
        <v>6</v>
      </c>
      <c r="C46" s="12" t="s">
        <v>95</v>
      </c>
      <c r="D46" s="12" t="s">
        <v>50</v>
      </c>
      <c r="E46" s="12"/>
    </row>
    <row r="47" customFormat="false" ht="15" hidden="false" customHeight="false" outlineLevel="0" collapsed="false">
      <c r="A47" s="10" t="s">
        <v>86</v>
      </c>
      <c r="B47" s="13"/>
      <c r="C47" s="12" t="s">
        <v>96</v>
      </c>
      <c r="D47" s="12" t="s">
        <v>50</v>
      </c>
      <c r="E47" s="12"/>
    </row>
    <row r="48" customFormat="false" ht="15" hidden="false" customHeight="false" outlineLevel="0" collapsed="false">
      <c r="A48" s="10" t="s">
        <v>86</v>
      </c>
      <c r="B48" s="13"/>
      <c r="C48" s="12" t="s">
        <v>97</v>
      </c>
      <c r="D48" s="12" t="s">
        <v>98</v>
      </c>
      <c r="E48" s="12"/>
    </row>
    <row r="49" customFormat="false" ht="15" hidden="false" customHeight="false" outlineLevel="0" collapsed="false">
      <c r="A49" s="10" t="s">
        <v>86</v>
      </c>
      <c r="B49" s="13"/>
      <c r="C49" s="12" t="s">
        <v>99</v>
      </c>
      <c r="D49" s="12" t="s">
        <v>20</v>
      </c>
      <c r="E49" s="12"/>
    </row>
    <row r="50" customFormat="false" ht="15" hidden="false" customHeight="false" outlineLevel="0" collapsed="false">
      <c r="A50" s="10" t="s">
        <v>86</v>
      </c>
      <c r="B50" s="13"/>
      <c r="C50" s="12" t="s">
        <v>100</v>
      </c>
      <c r="D50" s="12" t="s">
        <v>10</v>
      </c>
      <c r="E50" s="12"/>
    </row>
    <row r="51" customFormat="false" ht="15" hidden="false" customHeight="false" outlineLevel="0" collapsed="false">
      <c r="A51" s="10" t="s">
        <v>86</v>
      </c>
      <c r="B51" s="13"/>
      <c r="C51" s="12" t="s">
        <v>101</v>
      </c>
      <c r="D51" s="12" t="s">
        <v>102</v>
      </c>
      <c r="E51" s="12"/>
    </row>
    <row r="52" customFormat="false" ht="15" hidden="false" customHeight="false" outlineLevel="0" collapsed="false">
      <c r="A52" s="10" t="s">
        <v>86</v>
      </c>
      <c r="B52" s="13"/>
      <c r="C52" s="12" t="s">
        <v>103</v>
      </c>
      <c r="D52" s="12" t="s">
        <v>104</v>
      </c>
      <c r="E52" s="12"/>
    </row>
    <row r="53" customFormat="false" ht="15" hidden="false" customHeight="false" outlineLevel="0" collapsed="false">
      <c r="A53" s="10" t="s">
        <v>86</v>
      </c>
      <c r="B53" s="13"/>
      <c r="C53" s="12" t="s">
        <v>105</v>
      </c>
      <c r="D53" s="12" t="s">
        <v>106</v>
      </c>
      <c r="E53" s="12"/>
    </row>
    <row r="54" customFormat="false" ht="15" hidden="false" customHeight="false" outlineLevel="0" collapsed="false">
      <c r="A54" s="10" t="s">
        <v>86</v>
      </c>
      <c r="B54" s="13"/>
      <c r="C54" s="12" t="s">
        <v>107</v>
      </c>
      <c r="D54" s="12" t="s">
        <v>108</v>
      </c>
      <c r="E54" s="12"/>
    </row>
    <row r="55" customFormat="false" ht="15" hidden="false" customHeight="false" outlineLevel="0" collapsed="false">
      <c r="A55" s="10" t="s">
        <v>86</v>
      </c>
      <c r="B55" s="13"/>
      <c r="C55" s="12" t="s">
        <v>109</v>
      </c>
      <c r="D55" s="12" t="s">
        <v>110</v>
      </c>
      <c r="E55" s="12"/>
    </row>
    <row r="56" customFormat="false" ht="15" hidden="false" customHeight="false" outlineLevel="0" collapsed="false">
      <c r="A56" s="10" t="s">
        <v>86</v>
      </c>
      <c r="B56" s="13"/>
      <c r="C56" s="12" t="s">
        <v>111</v>
      </c>
      <c r="D56" s="12" t="s">
        <v>112</v>
      </c>
      <c r="E56" s="12"/>
    </row>
    <row r="57" customFormat="false" ht="15" hidden="false" customHeight="false" outlineLevel="0" collapsed="false">
      <c r="A57" s="10" t="s">
        <v>86</v>
      </c>
      <c r="B57" s="13"/>
      <c r="C57" s="12" t="s">
        <v>113</v>
      </c>
      <c r="D57" s="12" t="s">
        <v>114</v>
      </c>
      <c r="E57" s="12"/>
    </row>
    <row r="58" customFormat="false" ht="15" hidden="false" customHeight="false" outlineLevel="0" collapsed="false">
      <c r="A58" s="10" t="s">
        <v>86</v>
      </c>
      <c r="B58" s="13"/>
      <c r="C58" s="12" t="s">
        <v>115</v>
      </c>
      <c r="D58" s="12" t="s">
        <v>116</v>
      </c>
      <c r="E58" s="12"/>
    </row>
    <row r="59" customFormat="false" ht="15" hidden="false" customHeight="false" outlineLevel="0" collapsed="false">
      <c r="A59" s="10" t="s">
        <v>86</v>
      </c>
      <c r="B59" s="13"/>
      <c r="C59" s="12" t="s">
        <v>117</v>
      </c>
      <c r="D59" s="12" t="s">
        <v>118</v>
      </c>
      <c r="E59" s="12"/>
    </row>
    <row r="60" customFormat="false" ht="15" hidden="false" customHeight="false" outlineLevel="0" collapsed="false">
      <c r="A60" s="10" t="s">
        <v>86</v>
      </c>
      <c r="B60" s="13"/>
      <c r="C60" s="12" t="s">
        <v>119</v>
      </c>
      <c r="D60" s="12" t="s">
        <v>92</v>
      </c>
      <c r="E60" s="12"/>
    </row>
    <row r="61" customFormat="false" ht="15" hidden="false" customHeight="false" outlineLevel="0" collapsed="false">
      <c r="A61" s="10" t="s">
        <v>86</v>
      </c>
      <c r="B61" s="13"/>
      <c r="C61" s="12" t="s">
        <v>120</v>
      </c>
      <c r="D61" s="12" t="s">
        <v>121</v>
      </c>
      <c r="E61" s="12"/>
    </row>
    <row r="62" customFormat="false" ht="15" hidden="false" customHeight="false" outlineLevel="0" collapsed="false">
      <c r="A62" s="14" t="s">
        <v>122</v>
      </c>
      <c r="B62" s="15" t="s">
        <v>6</v>
      </c>
      <c r="C62" s="16" t="s">
        <v>123</v>
      </c>
      <c r="D62" s="16" t="s">
        <v>124</v>
      </c>
      <c r="E62" s="16"/>
    </row>
    <row r="63" customFormat="false" ht="15" hidden="false" customHeight="false" outlineLevel="0" collapsed="false">
      <c r="A63" s="14" t="s">
        <v>122</v>
      </c>
      <c r="B63" s="15" t="s">
        <v>6</v>
      </c>
      <c r="C63" s="16" t="s">
        <v>125</v>
      </c>
      <c r="D63" s="16" t="s">
        <v>126</v>
      </c>
      <c r="E63" s="16"/>
    </row>
    <row r="64" customFormat="false" ht="15" hidden="false" customHeight="false" outlineLevel="0" collapsed="false">
      <c r="A64" s="14" t="s">
        <v>122</v>
      </c>
      <c r="B64" s="15" t="s">
        <v>6</v>
      </c>
      <c r="C64" s="16" t="s">
        <v>127</v>
      </c>
      <c r="D64" s="16" t="s">
        <v>128</v>
      </c>
      <c r="E64" s="16"/>
    </row>
    <row r="65" customFormat="false" ht="15" hidden="false" customHeight="false" outlineLevel="0" collapsed="false">
      <c r="A65" s="14" t="s">
        <v>122</v>
      </c>
      <c r="B65" s="15" t="s">
        <v>6</v>
      </c>
      <c r="C65" s="16" t="s">
        <v>129</v>
      </c>
      <c r="D65" s="16" t="s">
        <v>130</v>
      </c>
      <c r="E65" s="16"/>
    </row>
    <row r="66" customFormat="false" ht="15" hidden="false" customHeight="false" outlineLevel="0" collapsed="false">
      <c r="A66" s="14" t="s">
        <v>122</v>
      </c>
      <c r="B66" s="15" t="s">
        <v>6</v>
      </c>
      <c r="C66" s="16" t="s">
        <v>131</v>
      </c>
      <c r="D66" s="16" t="s">
        <v>35</v>
      </c>
      <c r="E66" s="16"/>
    </row>
    <row r="67" customFormat="false" ht="15" hidden="false" customHeight="false" outlineLevel="0" collapsed="false">
      <c r="A67" s="14" t="s">
        <v>122</v>
      </c>
      <c r="B67" s="17"/>
      <c r="C67" s="16" t="s">
        <v>132</v>
      </c>
      <c r="D67" s="16" t="s">
        <v>133</v>
      </c>
      <c r="E67" s="16"/>
    </row>
    <row r="68" customFormat="false" ht="15" hidden="false" customHeight="false" outlineLevel="0" collapsed="false">
      <c r="A68" s="14" t="s">
        <v>122</v>
      </c>
      <c r="B68" s="17"/>
      <c r="C68" s="16" t="s">
        <v>134</v>
      </c>
      <c r="D68" s="16" t="s">
        <v>126</v>
      </c>
      <c r="E68" s="16"/>
    </row>
    <row r="69" customFormat="false" ht="15" hidden="false" customHeight="false" outlineLevel="0" collapsed="false">
      <c r="A69" s="14" t="s">
        <v>122</v>
      </c>
      <c r="B69" s="17"/>
      <c r="C69" s="16" t="s">
        <v>135</v>
      </c>
      <c r="D69" s="16" t="s">
        <v>124</v>
      </c>
      <c r="E69" s="16"/>
    </row>
    <row r="70" customFormat="false" ht="15" hidden="false" customHeight="false" outlineLevel="0" collapsed="false">
      <c r="A70" s="14" t="s">
        <v>122</v>
      </c>
      <c r="B70" s="17"/>
      <c r="C70" s="16" t="s">
        <v>136</v>
      </c>
      <c r="D70" s="16" t="s">
        <v>137</v>
      </c>
      <c r="E70" s="16"/>
    </row>
    <row r="71" customFormat="false" ht="15" hidden="false" customHeight="false" outlineLevel="0" collapsed="false">
      <c r="A71" s="14" t="s">
        <v>122</v>
      </c>
      <c r="B71" s="17"/>
      <c r="C71" s="16" t="s">
        <v>138</v>
      </c>
      <c r="D71" s="16" t="s">
        <v>139</v>
      </c>
      <c r="E71" s="16"/>
    </row>
    <row r="72" customFormat="false" ht="15" hidden="false" customHeight="false" outlineLevel="0" collapsed="false">
      <c r="A72" s="14" t="s">
        <v>122</v>
      </c>
      <c r="B72" s="17"/>
      <c r="C72" s="16" t="s">
        <v>140</v>
      </c>
      <c r="D72" s="16" t="s">
        <v>141</v>
      </c>
      <c r="E72" s="16"/>
    </row>
    <row r="73" customFormat="false" ht="15" hidden="false" customHeight="false" outlineLevel="0" collapsed="false">
      <c r="A73" s="14" t="s">
        <v>122</v>
      </c>
      <c r="B73" s="17"/>
      <c r="C73" s="16" t="s">
        <v>142</v>
      </c>
      <c r="D73" s="16" t="s">
        <v>126</v>
      </c>
      <c r="E73" s="16"/>
    </row>
    <row r="74" customFormat="false" ht="15" hidden="false" customHeight="false" outlineLevel="0" collapsed="false">
      <c r="A74" s="14" t="s">
        <v>122</v>
      </c>
      <c r="B74" s="17"/>
      <c r="C74" s="16" t="s">
        <v>143</v>
      </c>
      <c r="D74" s="16" t="s">
        <v>144</v>
      </c>
      <c r="E74" s="16"/>
    </row>
    <row r="75" customFormat="false" ht="15" hidden="false" customHeight="false" outlineLevel="0" collapsed="false">
      <c r="A75" s="14" t="s">
        <v>122</v>
      </c>
      <c r="B75" s="17"/>
      <c r="C75" s="16" t="s">
        <v>145</v>
      </c>
      <c r="D75" s="16" t="s">
        <v>146</v>
      </c>
      <c r="E75" s="16"/>
    </row>
    <row r="76" customFormat="false" ht="15" hidden="false" customHeight="false" outlineLevel="0" collapsed="false">
      <c r="A76" s="14" t="s">
        <v>122</v>
      </c>
      <c r="B76" s="17"/>
      <c r="C76" s="16" t="s">
        <v>147</v>
      </c>
      <c r="D76" s="16" t="s">
        <v>148</v>
      </c>
      <c r="E76" s="16"/>
    </row>
    <row r="77" customFormat="false" ht="15" hidden="false" customHeight="false" outlineLevel="0" collapsed="false">
      <c r="A77" s="14" t="s">
        <v>122</v>
      </c>
      <c r="B77" s="17"/>
      <c r="C77" s="16" t="s">
        <v>149</v>
      </c>
      <c r="D77" s="16" t="s">
        <v>124</v>
      </c>
      <c r="E77" s="16"/>
    </row>
    <row r="78" customFormat="false" ht="15" hidden="false" customHeight="false" outlineLevel="0" collapsed="false">
      <c r="A78" s="14" t="s">
        <v>122</v>
      </c>
      <c r="B78" s="17"/>
      <c r="C78" s="16" t="s">
        <v>150</v>
      </c>
      <c r="D78" s="16" t="s">
        <v>14</v>
      </c>
      <c r="E78" s="16"/>
    </row>
    <row r="79" customFormat="false" ht="15" hidden="false" customHeight="false" outlineLevel="0" collapsed="false">
      <c r="A79" s="14" t="s">
        <v>122</v>
      </c>
      <c r="B79" s="17"/>
      <c r="C79" s="16" t="s">
        <v>151</v>
      </c>
      <c r="D79" s="16" t="s">
        <v>124</v>
      </c>
      <c r="E79" s="16"/>
    </row>
    <row r="80" customFormat="false" ht="15" hidden="false" customHeight="false" outlineLevel="0" collapsed="false">
      <c r="A80" s="14" t="s">
        <v>122</v>
      </c>
      <c r="B80" s="17"/>
      <c r="C80" s="16" t="s">
        <v>152</v>
      </c>
      <c r="D80" s="16" t="s">
        <v>124</v>
      </c>
      <c r="E80" s="16"/>
    </row>
    <row r="81" customFormat="false" ht="15" hidden="false" customHeight="false" outlineLevel="0" collapsed="false">
      <c r="A81" s="14" t="s">
        <v>122</v>
      </c>
      <c r="B81" s="17"/>
      <c r="C81" s="16" t="s">
        <v>153</v>
      </c>
      <c r="D81" s="16" t="s">
        <v>154</v>
      </c>
      <c r="E81" s="16"/>
    </row>
    <row r="82" customFormat="false" ht="15" hidden="false" customHeight="false" outlineLevel="0" collapsed="false">
      <c r="A82" s="18" t="s">
        <v>155</v>
      </c>
      <c r="B82" s="19" t="s">
        <v>6</v>
      </c>
      <c r="C82" s="20" t="s">
        <v>156</v>
      </c>
      <c r="D82" s="20" t="s">
        <v>157</v>
      </c>
      <c r="E82" s="20"/>
    </row>
    <row r="83" customFormat="false" ht="15" hidden="false" customHeight="false" outlineLevel="0" collapsed="false">
      <c r="A83" s="18" t="s">
        <v>155</v>
      </c>
      <c r="B83" s="19" t="s">
        <v>6</v>
      </c>
      <c r="C83" s="20" t="s">
        <v>158</v>
      </c>
      <c r="D83" s="20" t="s">
        <v>159</v>
      </c>
      <c r="E83" s="20"/>
    </row>
    <row r="84" customFormat="false" ht="15" hidden="false" customHeight="false" outlineLevel="0" collapsed="false">
      <c r="A84" s="18" t="s">
        <v>155</v>
      </c>
      <c r="B84" s="19" t="s">
        <v>6</v>
      </c>
      <c r="C84" s="20" t="s">
        <v>160</v>
      </c>
      <c r="D84" s="20" t="s">
        <v>161</v>
      </c>
      <c r="E84" s="20"/>
    </row>
    <row r="85" customFormat="false" ht="15" hidden="false" customHeight="false" outlineLevel="0" collapsed="false">
      <c r="A85" s="18" t="s">
        <v>155</v>
      </c>
      <c r="B85" s="19" t="s">
        <v>6</v>
      </c>
      <c r="C85" s="20" t="s">
        <v>162</v>
      </c>
      <c r="D85" s="20" t="s">
        <v>163</v>
      </c>
      <c r="E85" s="20"/>
    </row>
    <row r="86" customFormat="false" ht="15" hidden="false" customHeight="false" outlineLevel="0" collapsed="false">
      <c r="A86" s="18" t="s">
        <v>155</v>
      </c>
      <c r="B86" s="19" t="s">
        <v>6</v>
      </c>
      <c r="C86" s="20" t="s">
        <v>164</v>
      </c>
      <c r="D86" s="20" t="s">
        <v>165</v>
      </c>
      <c r="E86" s="20"/>
    </row>
    <row r="87" customFormat="false" ht="15" hidden="false" customHeight="false" outlineLevel="0" collapsed="false">
      <c r="A87" s="18" t="s">
        <v>155</v>
      </c>
      <c r="B87" s="21"/>
      <c r="C87" s="20" t="s">
        <v>166</v>
      </c>
      <c r="D87" s="20" t="s">
        <v>167</v>
      </c>
      <c r="E87" s="20"/>
    </row>
    <row r="88" customFormat="false" ht="15" hidden="false" customHeight="false" outlineLevel="0" collapsed="false">
      <c r="A88" s="18" t="s">
        <v>155</v>
      </c>
      <c r="B88" s="21"/>
      <c r="C88" s="20" t="s">
        <v>168</v>
      </c>
      <c r="D88" s="20" t="s">
        <v>169</v>
      </c>
      <c r="E88" s="20"/>
    </row>
    <row r="89" customFormat="false" ht="15" hidden="false" customHeight="false" outlineLevel="0" collapsed="false">
      <c r="A89" s="18" t="s">
        <v>155</v>
      </c>
      <c r="B89" s="21"/>
      <c r="C89" s="20" t="s">
        <v>170</v>
      </c>
      <c r="D89" s="20" t="s">
        <v>165</v>
      </c>
      <c r="E89" s="20"/>
    </row>
    <row r="90" customFormat="false" ht="15" hidden="false" customHeight="false" outlineLevel="0" collapsed="false">
      <c r="A90" s="18" t="s">
        <v>155</v>
      </c>
      <c r="B90" s="21"/>
      <c r="C90" s="20" t="s">
        <v>171</v>
      </c>
      <c r="D90" s="20" t="s">
        <v>172</v>
      </c>
      <c r="E90" s="20"/>
    </row>
    <row r="91" customFormat="false" ht="15" hidden="false" customHeight="false" outlineLevel="0" collapsed="false">
      <c r="A91" s="18" t="s">
        <v>155</v>
      </c>
      <c r="B91" s="21"/>
      <c r="C91" s="20" t="s">
        <v>173</v>
      </c>
      <c r="D91" s="20" t="s">
        <v>174</v>
      </c>
      <c r="E91" s="20"/>
    </row>
    <row r="92" customFormat="false" ht="15" hidden="false" customHeight="false" outlineLevel="0" collapsed="false">
      <c r="A92" s="18" t="s">
        <v>155</v>
      </c>
      <c r="B92" s="21"/>
      <c r="C92" s="20" t="s">
        <v>175</v>
      </c>
      <c r="D92" s="20" t="s">
        <v>157</v>
      </c>
      <c r="E92" s="20"/>
    </row>
    <row r="93" customFormat="false" ht="15" hidden="false" customHeight="false" outlineLevel="0" collapsed="false">
      <c r="A93" s="18" t="s">
        <v>155</v>
      </c>
      <c r="B93" s="21"/>
      <c r="C93" s="20" t="s">
        <v>176</v>
      </c>
      <c r="D93" s="20" t="s">
        <v>177</v>
      </c>
      <c r="E93" s="20"/>
    </row>
    <row r="94" customFormat="false" ht="15" hidden="false" customHeight="false" outlineLevel="0" collapsed="false">
      <c r="A94" s="18" t="s">
        <v>155</v>
      </c>
      <c r="B94" s="21"/>
      <c r="C94" s="20" t="s">
        <v>178</v>
      </c>
      <c r="D94" s="20" t="s">
        <v>179</v>
      </c>
      <c r="E94" s="20"/>
    </row>
    <row r="95" customFormat="false" ht="15" hidden="false" customHeight="false" outlineLevel="0" collapsed="false">
      <c r="A95" s="18" t="s">
        <v>155</v>
      </c>
      <c r="B95" s="21"/>
      <c r="C95" s="20" t="s">
        <v>180</v>
      </c>
      <c r="D95" s="20" t="s">
        <v>181</v>
      </c>
      <c r="E95" s="20"/>
    </row>
    <row r="96" customFormat="false" ht="15" hidden="false" customHeight="false" outlineLevel="0" collapsed="false">
      <c r="A96" s="18" t="s">
        <v>155</v>
      </c>
      <c r="B96" s="21"/>
      <c r="C96" s="20" t="s">
        <v>182</v>
      </c>
      <c r="D96" s="20" t="s">
        <v>183</v>
      </c>
      <c r="E96" s="20"/>
    </row>
    <row r="97" customFormat="false" ht="15" hidden="false" customHeight="false" outlineLevel="0" collapsed="false">
      <c r="A97" s="18" t="s">
        <v>155</v>
      </c>
      <c r="B97" s="21"/>
      <c r="C97" s="20" t="s">
        <v>184</v>
      </c>
      <c r="D97" s="20" t="s">
        <v>185</v>
      </c>
      <c r="E97" s="20"/>
    </row>
    <row r="98" customFormat="false" ht="15" hidden="false" customHeight="false" outlineLevel="0" collapsed="false">
      <c r="A98" s="18" t="s">
        <v>155</v>
      </c>
      <c r="B98" s="21"/>
      <c r="C98" s="20" t="s">
        <v>186</v>
      </c>
      <c r="D98" s="20" t="s">
        <v>165</v>
      </c>
      <c r="E98" s="20"/>
    </row>
    <row r="99" customFormat="false" ht="15" hidden="false" customHeight="false" outlineLevel="0" collapsed="false">
      <c r="A99" s="18" t="s">
        <v>155</v>
      </c>
      <c r="B99" s="21"/>
      <c r="C99" s="20" t="s">
        <v>187</v>
      </c>
      <c r="D99" s="20" t="s">
        <v>157</v>
      </c>
      <c r="E99" s="20"/>
    </row>
    <row r="100" customFormat="false" ht="15" hidden="false" customHeight="false" outlineLevel="0" collapsed="false">
      <c r="A100" s="18" t="s">
        <v>155</v>
      </c>
      <c r="B100" s="21"/>
      <c r="C100" s="20" t="s">
        <v>188</v>
      </c>
      <c r="D100" s="20" t="s">
        <v>189</v>
      </c>
      <c r="E100" s="20"/>
    </row>
    <row r="101" customFormat="false" ht="15" hidden="false" customHeight="false" outlineLevel="0" collapsed="false">
      <c r="A101" s="18" t="s">
        <v>155</v>
      </c>
      <c r="B101" s="21"/>
      <c r="C101" s="20" t="s">
        <v>190</v>
      </c>
      <c r="D101" s="20" t="s">
        <v>191</v>
      </c>
      <c r="E101" s="20"/>
    </row>
  </sheetData>
  <autoFilter ref="A1:E101"/>
  <dataValidations count="2">
    <dataValidation allowBlank="false" errorStyle="stop" operator="between" showDropDown="false" showErrorMessage="false" showInputMessage="false" sqref="A2:A101" type="list">
      <formula1>"木,火,土,金,水"</formula1>
      <formula2>0</formula2>
    </dataValidation>
    <dataValidation allowBlank="true" errorStyle="stop" operator="between" showDropDown="false" showErrorMessage="false" showInputMessage="false" sqref="B2:B101" type="list">
      <formula1>"○"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22" t="s">
        <v>0</v>
      </c>
      <c r="B1" s="22" t="s">
        <v>192</v>
      </c>
      <c r="C1" s="22" t="s">
        <v>193</v>
      </c>
      <c r="D1" s="22" t="s">
        <v>194</v>
      </c>
    </row>
    <row r="2" customFormat="false" ht="15" hidden="false" customHeight="false" outlineLevel="0" collapsed="false">
      <c r="A2" s="23" t="s">
        <v>5</v>
      </c>
      <c r="B2" s="23" t="n">
        <f aca="false">COUNTIF(ラッキーアイテム!A:A,"木")</f>
        <v>20</v>
      </c>
      <c r="C2" s="23" t="n">
        <f aca="false">COUNTIFS(ラッキーアイテム!A:A,"木",ラッキーアイテム!B:B,"○")</f>
        <v>5</v>
      </c>
      <c r="D2" s="23" t="str">
        <f aca="false">IF(AND(B2=20,C2=5),"OK","要調整")</f>
        <v>OK</v>
      </c>
    </row>
    <row r="3" customFormat="false" ht="15" hidden="false" customHeight="false" outlineLevel="0" collapsed="false">
      <c r="A3" s="23" t="s">
        <v>46</v>
      </c>
      <c r="B3" s="23" t="n">
        <f aca="false">COUNTIF(ラッキーアイテム!A:A,"火")</f>
        <v>20</v>
      </c>
      <c r="C3" s="23" t="n">
        <f aca="false">COUNTIFS(ラッキーアイテム!A:A,"火",ラッキーアイテム!B:B,"○")</f>
        <v>5</v>
      </c>
      <c r="D3" s="23" t="str">
        <f aca="false">IF(AND(B3=20,C3=5),"OK","要調整")</f>
        <v>OK</v>
      </c>
    </row>
    <row r="4" customFormat="false" ht="15" hidden="false" customHeight="false" outlineLevel="0" collapsed="false">
      <c r="A4" s="23" t="s">
        <v>86</v>
      </c>
      <c r="B4" s="23" t="n">
        <f aca="false">COUNTIF(ラッキーアイテム!A:A,"土")</f>
        <v>20</v>
      </c>
      <c r="C4" s="23" t="n">
        <f aca="false">COUNTIFS(ラッキーアイテム!A:A,"土",ラッキーアイテム!B:B,"○")</f>
        <v>5</v>
      </c>
      <c r="D4" s="23" t="str">
        <f aca="false">IF(AND(B4=20,C4=5),"OK","要調整")</f>
        <v>OK</v>
      </c>
    </row>
    <row r="5" customFormat="false" ht="15" hidden="false" customHeight="false" outlineLevel="0" collapsed="false">
      <c r="A5" s="23" t="s">
        <v>122</v>
      </c>
      <c r="B5" s="23" t="n">
        <f aca="false">COUNTIF(ラッキーアイテム!A:A,"金")</f>
        <v>20</v>
      </c>
      <c r="C5" s="23" t="n">
        <f aca="false">COUNTIFS(ラッキーアイテム!A:A,"金",ラッキーアイテム!B:B,"○")</f>
        <v>5</v>
      </c>
      <c r="D5" s="23" t="str">
        <f aca="false">IF(AND(B5=20,C5=5),"OK","要調整")</f>
        <v>OK</v>
      </c>
    </row>
    <row r="6" customFormat="false" ht="15" hidden="false" customHeight="false" outlineLevel="0" collapsed="false">
      <c r="A6" s="23" t="s">
        <v>155</v>
      </c>
      <c r="B6" s="23" t="n">
        <f aca="false">COUNTIF(ラッキーアイテム!A:A,"水")</f>
        <v>20</v>
      </c>
      <c r="C6" s="23" t="n">
        <f aca="false">COUNTIFS(ラッキーアイテム!A:A,"水",ラッキーアイテム!B:B,"○")</f>
        <v>5</v>
      </c>
      <c r="D6" s="23" t="str">
        <f aca="false">IF(AND(B6=20,C6=5),"OK","要調整")</f>
        <v>OK</v>
      </c>
    </row>
    <row r="7" customFormat="false" ht="15" hidden="false" customHeight="false" outlineLevel="0" collapsed="false">
      <c r="A7" s="24" t="s">
        <v>195</v>
      </c>
      <c r="B7" s="24" t="n">
        <f aca="false">SUM(B2:B6)</f>
        <v>100</v>
      </c>
      <c r="C7" s="24" t="n">
        <f aca="false">SUM(C2:C6)</f>
        <v>25</v>
      </c>
      <c r="D7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25" t="s">
        <v>196</v>
      </c>
    </row>
    <row r="2" customFormat="false" ht="15" hidden="false" customHeight="false" outlineLevel="0" collapsed="false">
      <c r="A2" s="26"/>
    </row>
    <row r="3" customFormat="false" ht="28.35" hidden="false" customHeight="false" outlineLevel="0" collapsed="false">
      <c r="A3" s="27" t="s">
        <v>197</v>
      </c>
    </row>
    <row r="4" customFormat="false" ht="28.35" hidden="false" customHeight="false" outlineLevel="0" collapsed="false">
      <c r="A4" s="27" t="s">
        <v>198</v>
      </c>
    </row>
    <row r="5" customFormat="false" ht="15" hidden="false" customHeight="false" outlineLevel="0" collapsed="false">
      <c r="A5" s="27" t="s">
        <v>199</v>
      </c>
    </row>
    <row r="6" customFormat="false" ht="28.35" hidden="false" customHeight="false" outlineLevel="0" collapsed="false">
      <c r="A6" s="27" t="s">
        <v>200</v>
      </c>
    </row>
    <row r="7" customFormat="false" ht="15" hidden="false" customHeight="false" outlineLevel="0" collapsed="false">
      <c r="A7" s="27" t="s">
        <v>201</v>
      </c>
    </row>
    <row r="8" customFormat="false" ht="28.35" hidden="false" customHeight="false" outlineLevel="0" collapsed="false">
      <c r="A8" s="27" t="s">
        <v>202</v>
      </c>
    </row>
    <row r="9" customFormat="false" ht="28.35" hidden="false" customHeight="false" outlineLevel="0" collapsed="false">
      <c r="A9" s="27" t="s">
        <v>203</v>
      </c>
    </row>
    <row r="10" customFormat="false" ht="28.35" hidden="false" customHeight="false" outlineLevel="0" collapsed="false">
      <c r="A10" s="27" t="s">
        <v>204</v>
      </c>
    </row>
    <row r="11" customFormat="false" ht="15" hidden="false" customHeight="false" outlineLevel="0" collapsed="false">
      <c r="A11" s="27"/>
    </row>
    <row r="12" customFormat="false" ht="15" hidden="false" customHeight="false" outlineLevel="0" collapsed="false">
      <c r="A12" s="25" t="s">
        <v>205</v>
      </c>
    </row>
    <row r="13" customFormat="false" ht="15" hidden="false" customHeight="false" outlineLevel="0" collapsed="false">
      <c r="A13" s="26" t="s">
        <v>206</v>
      </c>
    </row>
    <row r="14" customFormat="false" ht="15" hidden="false" customHeight="false" outlineLevel="0" collapsed="false">
      <c r="A14" s="26" t="s">
        <v>207</v>
      </c>
    </row>
    <row r="15" customFormat="false" ht="15" hidden="false" customHeight="false" outlineLevel="0" collapsed="false">
      <c r="A15" s="26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2026-06-10T01:00:30Z</dcterms:created>
  <dc:creator>openpyxl</dc:creator>
  <dc:description/>
  <dc:language>en-US</dc:language>
  <cp:lastModifiedBy/>
  <dcterms:modified xsi:type="dcterms:W3CDTF">2026-06-10T01:00:30Z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